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ing Hydrologic Data" sheetId="1" r:id="rId4"/>
    <sheet state="visible" name="A Method For Calculating" sheetId="2" r:id="rId5"/>
    <sheet state="visible" name="Analysis of Flow" sheetId="3" r:id="rId6"/>
    <sheet state="visible" name="Agua Salud Rainfall Data" sheetId="4" r:id="rId7"/>
    <sheet state="visible" name="Agua Salud Discharge Data" sheetId="5" r:id="rId8"/>
    <sheet state="visible" name="cvar.py" sheetId="6" r:id="rId9"/>
    <sheet state="visible" name="eq_solver.py" sheetId="7" r:id="rId10"/>
    <sheet state="visible" name="curves.py" sheetId="8" r:id="rId11"/>
    <sheet state="visible" name="chunks.py" sheetId="9" r:id="rId12"/>
    <sheet state="visible" name="median.py" sheetId="10" r:id="rId13"/>
    <sheet state="visible" name="gc.py" sheetId="11" r:id="rId14"/>
    <sheet state="visible" name="movrobots.py" sheetId="12" r:id="rId15"/>
    <sheet state="visible" name="Template" sheetId="13" r:id="rId16"/>
  </sheets>
  <definedNames/>
  <calcPr/>
</workbook>
</file>

<file path=xl/sharedStrings.xml><?xml version="1.0" encoding="utf-8"?>
<sst xmlns="http://schemas.openxmlformats.org/spreadsheetml/2006/main" count="840" uniqueCount="109">
  <si>
    <t>Command</t>
  </si>
  <si>
    <t>python main.py</t>
  </si>
  <si>
    <t>Pure Python - Time 1</t>
  </si>
  <si>
    <t>Pure Python - Time 2</t>
  </si>
  <si>
    <t>Pure Python - Time 3</t>
  </si>
  <si>
    <t>Pure Python - Time 4</t>
  </si>
  <si>
    <t>Pure Python - Time 5</t>
  </si>
  <si>
    <t>Pure Python - Time 6</t>
  </si>
  <si>
    <t>Pure Python - Time 7</t>
  </si>
  <si>
    <t>Pure Python - Time 8</t>
  </si>
  <si>
    <t>Pure Python - Time 9</t>
  </si>
  <si>
    <t>Pure Python - Time 10</t>
  </si>
  <si>
    <t>Median - Pure Python - Time</t>
  </si>
  <si>
    <t>noWorflow fine grain - Time 1</t>
  </si>
  <si>
    <t>noWorflow fine grain - Time 2</t>
  </si>
  <si>
    <t>noWorflow fine grain - Time 3</t>
  </si>
  <si>
    <t>noWorflow fine grain - Time 4</t>
  </si>
  <si>
    <t>noWorflow fine grain - Time 5</t>
  </si>
  <si>
    <t>noWorflow fine grain - Time 6</t>
  </si>
  <si>
    <t>noWorflow fine grain - Time 7</t>
  </si>
  <si>
    <t>noWorflow fine grain - Time 8</t>
  </si>
  <si>
    <t>noWorflow fine grain - Time 9</t>
  </si>
  <si>
    <t>noWorflow fine grain - Time 10</t>
  </si>
  <si>
    <t>Median noWokflow - fine grain - Time</t>
  </si>
  <si>
    <t>noWorflow fine grain - Depth 2 - Time 1</t>
  </si>
  <si>
    <t>noWorflow fine grain - Depth 2 - Time 2</t>
  </si>
  <si>
    <t>noWorflow fine grain - Depth 2 - Time 3</t>
  </si>
  <si>
    <t>noWorflow fine grain - Depth 2 - Time 4</t>
  </si>
  <si>
    <t>noWorflow fine grain - Depth 2 - Time 5</t>
  </si>
  <si>
    <t>noWorflow fine grain - Depth 2 - Time 6</t>
  </si>
  <si>
    <t>noWorflow fine grain - Depth 2 - Time 7</t>
  </si>
  <si>
    <t>noWorflow fine grain - Depth 2 - Time 8</t>
  </si>
  <si>
    <t>noWorflow fine grain - Depth 2 - Time 9</t>
  </si>
  <si>
    <t>noWorflow fine grain - Depth 2 - Time 10</t>
  </si>
  <si>
    <t>Median noWokflow - fine grain - Depth 2 - Time</t>
  </si>
  <si>
    <t>noWorflow fine grain - Depth 3 - Time 1</t>
  </si>
  <si>
    <t>noWorflow fine grain - Depth 3 - Time 2</t>
  </si>
  <si>
    <t>noWorflow fine grain - Depth 3 - Time 3</t>
  </si>
  <si>
    <t>noWorflow fine grain - Depth 3 - Time 4</t>
  </si>
  <si>
    <t>noWorflow fine grain - Depth 3 - Time 5</t>
  </si>
  <si>
    <t>noWorflow fine grain - Depth 3 - Time 6</t>
  </si>
  <si>
    <t>noWorflow fine grain - Depth 3 - Time 7</t>
  </si>
  <si>
    <t>noWorflow fine grain - Depth 3 - Time 8</t>
  </si>
  <si>
    <t>noWorflow fine grain - Depth 3 - Time 9</t>
  </si>
  <si>
    <t>noWorflow fine grain - Depth 3 - Time 10</t>
  </si>
  <si>
    <t>Median noWokflow - fine grain - Depth 3 - Time</t>
  </si>
  <si>
    <t>noWorkflow coarse grain - Time 1</t>
  </si>
  <si>
    <t>noWorkflow coarse grain - Time 2</t>
  </si>
  <si>
    <t>noWorkflow coarse grain - Time 3</t>
  </si>
  <si>
    <t>noWorkflow coarse grain - Time 4</t>
  </si>
  <si>
    <t>noWorkflow coarse grain - Time 5</t>
  </si>
  <si>
    <t>noWorkflow coarse grain - Time 6</t>
  </si>
  <si>
    <t>noWorkflow coarse grain - Time 7</t>
  </si>
  <si>
    <t>noWorkflow coarse grain - Time 8</t>
  </si>
  <si>
    <t>noWorkflow coarse grain - Time 9</t>
  </si>
  <si>
    <t>noWorkflow coarse grain - Time 10</t>
  </si>
  <si>
    <t>Median noWorkflow - coarse grain - Time</t>
  </si>
  <si>
    <t>noWorflow fine grain - Provenance size</t>
  </si>
  <si>
    <t>116.991.026 bytes</t>
  </si>
  <si>
    <t>noWorflow fine grain - Depth 2 - Provenance size</t>
  </si>
  <si>
    <t>46.257.202 bytes</t>
  </si>
  <si>
    <t>noWorflow fine grain - Depth 3 - Provenance size</t>
  </si>
  <si>
    <t>noWorkflow coarse grain - Provenance size</t>
  </si>
  <si>
    <t>59.151.410 bytes</t>
  </si>
  <si>
    <t>23.777.318.913 bytes</t>
  </si>
  <si>
    <t>38.529.025 bytes</t>
  </si>
  <si>
    <t>23.739.471.873 bytes</t>
  </si>
  <si>
    <t>21.785.716 bytes</t>
  </si>
  <si>
    <t>16.804.980 bytes</t>
  </si>
  <si>
    <t>17.820.788 bytes</t>
  </si>
  <si>
    <t>python export_rainfall.py --site MOS -d gage_data --first 2010-01-01T01:00Z --last 2010-01-02T01:00Z</t>
  </si>
  <si>
    <t>8.809.133 bytes</t>
  </si>
  <si>
    <t>4.755.764 bytes</t>
  </si>
  <si>
    <t>6.064.815 bytes</t>
  </si>
  <si>
    <t>python export_discharge.py --site FOR -d discharge_sharp --first 2010-01-01T01:00Z --last 2010-01-02T01:00Z</t>
  </si>
  <si>
    <t>19.140.391 bytes</t>
  </si>
  <si>
    <t>4.812.972 bytes</t>
  </si>
  <si>
    <t>9.592.615 bytes</t>
  </si>
  <si>
    <r>
      <rPr/>
      <t xml:space="preserve">python </t>
    </r>
    <r>
      <rPr>
        <color rgb="FF1155CC"/>
        <u/>
      </rPr>
      <t>cvar.py</t>
    </r>
    <r>
      <rPr/>
      <t xml:space="preserve"> 500</t>
    </r>
  </si>
  <si>
    <t>14.317.834 bytes</t>
  </si>
  <si>
    <t>5.261.578 bytes</t>
  </si>
  <si>
    <t>8.550.666 bytes</t>
  </si>
  <si>
    <t>python eq_solver.py 500</t>
  </si>
  <si>
    <t>76.041.679 bytes</t>
  </si>
  <si>
    <t>51.445.199 bytes</t>
  </si>
  <si>
    <t>52.977.103 bytes</t>
  </si>
  <si>
    <t>72.392.143 bytes</t>
  </si>
  <si>
    <t>python .\curves.py 5000 5000 5000 5000 5000 5000 5000 5000</t>
  </si>
  <si>
    <t>1.520.924 bytes</t>
  </si>
  <si>
    <t>1.279.260 bytes</t>
  </si>
  <si>
    <t>1.316.124 bytes</t>
  </si>
  <si>
    <t>980.252 bytes</t>
  </si>
  <si>
    <t>python chunks.py 500</t>
  </si>
  <si>
    <t>5.929.461 bytes</t>
  </si>
  <si>
    <t>5.872.117 bytes</t>
  </si>
  <si>
    <t>4.557.301 bytes</t>
  </si>
  <si>
    <t>python median.py 500</t>
  </si>
  <si>
    <t>7.132.140 bytes</t>
  </si>
  <si>
    <t>5.880.422 bytes</t>
  </si>
  <si>
    <t>5.970.534 bytes</t>
  </si>
  <si>
    <t>4.581.990 bytes</t>
  </si>
  <si>
    <t>python gc.py CR954253.fasta</t>
  </si>
  <si>
    <t>1.987.594.058 bytes</t>
  </si>
  <si>
    <t>5.433.162 bytes</t>
  </si>
  <si>
    <t>1.984.497.482 bytes</t>
  </si>
  <si>
    <t>python .\mov_robots.py</t>
  </si>
  <si>
    <t>14.887.749 bytes</t>
  </si>
  <si>
    <t>11.090.757 bytes</t>
  </si>
  <si>
    <t>12.356.421 bytes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</si>
</sst>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rgb="FFFFFFFF"/>
      <name val="Arial"/>
      <scheme val="minor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FF"/>
        <bgColor rgb="FF0000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134F5C"/>
        <bgColor rgb="FF134F5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Font="1"/>
    <xf borderId="0" fillId="4" fontId="3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cvar.py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0.534590300056152</v>
      </c>
      <c r="B5" s="2">
        <v>0.532837499980814</v>
      </c>
      <c r="C5" s="2">
        <v>0.546845700009726</v>
      </c>
      <c r="D5" s="2">
        <v>0.524747900082729</v>
      </c>
      <c r="E5" s="2">
        <v>0.541264300001785</v>
      </c>
      <c r="F5" s="2">
        <v>0.54017399996519</v>
      </c>
      <c r="G5" s="2">
        <v>0.523975900025107</v>
      </c>
      <c r="H5" s="2">
        <v>0.534049399895593</v>
      </c>
      <c r="I5" s="2">
        <v>0.553520299959927</v>
      </c>
      <c r="J5" s="2">
        <v>0.54138629999943</v>
      </c>
      <c r="K5" s="5">
        <f>MEDIAN(A5:J5)</f>
        <v>0.53738215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2.07428489997983</v>
      </c>
      <c r="B8" s="2">
        <v>2.04713590000756</v>
      </c>
      <c r="C8" s="2">
        <v>2.08741649996954</v>
      </c>
      <c r="D8" s="2">
        <v>2.05744610005058</v>
      </c>
      <c r="E8" s="2">
        <v>2.0549738999689</v>
      </c>
      <c r="F8" s="2">
        <v>2.05862309993244</v>
      </c>
      <c r="G8" s="2">
        <v>2.056923899916</v>
      </c>
      <c r="H8" s="2">
        <v>2.05298289994243</v>
      </c>
      <c r="I8" s="2">
        <v>2.05582880007568</v>
      </c>
      <c r="J8" s="2">
        <v>2.04916100006084</v>
      </c>
      <c r="K8" s="5">
        <f>MEDIAN(A8:J8)</f>
        <v>2.05637635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1.39486420003231</v>
      </c>
      <c r="B11" s="2">
        <v>1.39606619998812</v>
      </c>
      <c r="C11" s="2">
        <v>1.38197420001961</v>
      </c>
      <c r="D11" s="2">
        <v>1.38953200005926</v>
      </c>
      <c r="E11" s="2">
        <v>1.42133909999392</v>
      </c>
      <c r="F11" s="2">
        <v>1.39857109996955</v>
      </c>
      <c r="G11" s="2">
        <v>1.38646910001989</v>
      </c>
      <c r="H11" s="2">
        <v>1.39272480004001</v>
      </c>
      <c r="I11" s="2">
        <v>1.39724510000087</v>
      </c>
      <c r="J11" s="2">
        <v>1.4090084999334</v>
      </c>
      <c r="K11" s="5">
        <f>MEDIAN(A11:J11)</f>
        <v>1.3954652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2.0581820999505</v>
      </c>
      <c r="B14" s="2">
        <v>2.07852610002737</v>
      </c>
      <c r="C14" s="2">
        <v>2.06139569997321</v>
      </c>
      <c r="D14" s="2">
        <v>2.05979540001135</v>
      </c>
      <c r="E14" s="2">
        <v>2.06921579991467</v>
      </c>
      <c r="F14" s="2">
        <v>2.07691419997718</v>
      </c>
      <c r="G14" s="2">
        <v>2.08746700000483</v>
      </c>
      <c r="H14" s="2">
        <v>2.05944480001926</v>
      </c>
      <c r="I14" s="2">
        <v>2.08097170002292</v>
      </c>
      <c r="J14" s="2">
        <v>2.09626270004082</v>
      </c>
      <c r="K14" s="5">
        <f>MEDIAN(A14:J14)</f>
        <v>2.073065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1.44781300006434</v>
      </c>
      <c r="B17" s="2">
        <v>1.4098014999181</v>
      </c>
      <c r="C17" s="2">
        <v>1.45809229998849</v>
      </c>
      <c r="D17" s="2">
        <v>1.45666859997436</v>
      </c>
      <c r="E17" s="2">
        <v>1.47060499992221</v>
      </c>
      <c r="F17" s="2">
        <v>1.46915130014531</v>
      </c>
      <c r="G17" s="2">
        <v>1.4585144999437</v>
      </c>
      <c r="H17" s="2">
        <v>1.45835410011932</v>
      </c>
      <c r="I17" s="2">
        <v>1.45973560004495</v>
      </c>
      <c r="J17" s="2">
        <v>1.45321410009637</v>
      </c>
      <c r="K17" s="5">
        <f>MEDIAN(A17:J17)</f>
        <v>1.4582232</v>
      </c>
    </row>
    <row r="19">
      <c r="A19" s="14" t="s">
        <v>57</v>
      </c>
    </row>
    <row r="20">
      <c r="A20" s="2" t="s">
        <v>58</v>
      </c>
    </row>
    <row r="22">
      <c r="A22" s="15" t="s">
        <v>59</v>
      </c>
    </row>
    <row r="23">
      <c r="A23" s="2" t="s">
        <v>60</v>
      </c>
    </row>
    <row r="25">
      <c r="A25" s="16" t="s">
        <v>61</v>
      </c>
    </row>
    <row r="26">
      <c r="A26" s="2" t="s">
        <v>58</v>
      </c>
    </row>
    <row r="28">
      <c r="A28" s="17" t="s">
        <v>62</v>
      </c>
    </row>
    <row r="29">
      <c r="A29" s="2" t="s">
        <v>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0.505633700056932</v>
      </c>
      <c r="B5" s="2">
        <v>0.515873200027272</v>
      </c>
      <c r="C5" s="2">
        <v>0.558654000051319</v>
      </c>
      <c r="D5" s="2">
        <v>0.52073619980365</v>
      </c>
      <c r="E5" s="2">
        <v>0.515426099998876</v>
      </c>
      <c r="F5" s="2">
        <v>0.520155899925157</v>
      </c>
      <c r="G5" s="2">
        <v>0.517383700003847</v>
      </c>
      <c r="H5" s="2">
        <v>0.529313399922102</v>
      </c>
      <c r="I5" s="2">
        <v>0.555805000010877</v>
      </c>
      <c r="J5" s="2">
        <v>0.525056699989363</v>
      </c>
      <c r="K5" s="5">
        <f>MEDIAN(A5:J5)</f>
        <v>0.5204460499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213.621535800048</v>
      </c>
      <c r="B8" s="2">
        <v>213.829855500021</v>
      </c>
      <c r="C8" s="2">
        <v>213.974986199988</v>
      </c>
      <c r="D8" s="2">
        <v>212.054292400018</v>
      </c>
      <c r="E8" s="2">
        <v>212.831992599996</v>
      </c>
      <c r="F8" s="2">
        <v>212.744285999913</v>
      </c>
      <c r="G8" s="2">
        <v>214.588621200062</v>
      </c>
      <c r="H8" s="2">
        <v>212.131672100047</v>
      </c>
      <c r="I8" s="2">
        <v>212.57084639999</v>
      </c>
      <c r="J8" s="2">
        <v>212.89546582738</v>
      </c>
      <c r="K8" s="5">
        <f>MEDIAN(A8:J8)</f>
        <v>212.8637292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2.95610870001837</v>
      </c>
      <c r="B11" s="2">
        <v>3.57273150002583</v>
      </c>
      <c r="C11" s="2">
        <v>2.75450129993259</v>
      </c>
      <c r="D11" s="2">
        <v>2.81480749999173</v>
      </c>
      <c r="E11" s="2">
        <v>2.59856559988111</v>
      </c>
      <c r="F11" s="2">
        <v>2.67017380008474</v>
      </c>
      <c r="G11" s="2">
        <v>2.65610140003263</v>
      </c>
      <c r="H11" s="2">
        <v>2.7231099999044</v>
      </c>
      <c r="I11" s="2">
        <v>2.59424180001951</v>
      </c>
      <c r="J11" s="2">
        <v>2.61480189999565</v>
      </c>
      <c r="K11" s="5">
        <f>MEDIAN(A11:J11)</f>
        <v>2.6966419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214.469600799959</v>
      </c>
      <c r="B14" s="2">
        <v>211.441106900107</v>
      </c>
      <c r="C14" s="2">
        <v>210.503458600025</v>
      </c>
      <c r="D14" s="2">
        <v>212.667295499937</v>
      </c>
      <c r="E14" s="2">
        <v>212.185530000133</v>
      </c>
      <c r="F14" s="2">
        <v>211.997061700094</v>
      </c>
      <c r="G14" s="2">
        <v>211.193832699907</v>
      </c>
      <c r="H14" s="2">
        <v>211.41016349988</v>
      </c>
      <c r="I14" s="2">
        <v>212.843525100033</v>
      </c>
      <c r="J14" s="2">
        <v>212.836740599945</v>
      </c>
      <c r="K14" s="5">
        <f>MEDIAN(A14:J14)</f>
        <v>212.0912959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214.313243300071</v>
      </c>
      <c r="B17" s="2">
        <v>210.685181800043</v>
      </c>
      <c r="C17" s="2">
        <v>212.29732630006</v>
      </c>
      <c r="D17" s="2">
        <v>210.884574299911</v>
      </c>
      <c r="E17" s="2">
        <v>211.677114699967</v>
      </c>
      <c r="F17" s="2">
        <v>212.785906899953</v>
      </c>
      <c r="G17" s="2">
        <v>212.710580300074</v>
      </c>
      <c r="H17" s="2">
        <v>213.095249500125</v>
      </c>
      <c r="I17" s="2">
        <v>212.595751599874</v>
      </c>
      <c r="J17" s="2">
        <v>214.748603699961</v>
      </c>
      <c r="K17" s="5">
        <f>MEDIAN(A17:J17)</f>
        <v>212.6531659</v>
      </c>
    </row>
    <row r="19">
      <c r="A19" s="14" t="s">
        <v>57</v>
      </c>
    </row>
    <row r="20">
      <c r="A20" s="2" t="s">
        <v>64</v>
      </c>
    </row>
    <row r="22">
      <c r="A22" s="15" t="s">
        <v>59</v>
      </c>
    </row>
    <row r="23">
      <c r="A23" s="2" t="s">
        <v>65</v>
      </c>
    </row>
    <row r="25">
      <c r="A25" s="16" t="s">
        <v>61</v>
      </c>
    </row>
    <row r="26">
      <c r="A26" s="2" t="s">
        <v>64</v>
      </c>
    </row>
    <row r="28">
      <c r="A28" s="17" t="s">
        <v>62</v>
      </c>
    </row>
    <row r="29">
      <c r="A29" s="2" t="s">
        <v>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0.387420599930919</v>
      </c>
      <c r="B5" s="2">
        <v>0.381199299939908</v>
      </c>
      <c r="C5" s="2">
        <v>0.387736600008793</v>
      </c>
      <c r="D5" s="2">
        <v>0.385272299987264</v>
      </c>
      <c r="E5" s="2">
        <v>0.389400200103409</v>
      </c>
      <c r="F5" s="2">
        <v>0.380810899892821</v>
      </c>
      <c r="G5" s="2">
        <v>0.389465400017797</v>
      </c>
      <c r="H5" s="2">
        <v>0.397421700065024</v>
      </c>
      <c r="I5" s="2">
        <v>0.387782400008291</v>
      </c>
      <c r="J5" s="2">
        <v>0.39623020007275</v>
      </c>
      <c r="K5" s="5">
        <f>MEDIAN(A5:J5)</f>
        <v>0.3877595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1.55131269991397</v>
      </c>
      <c r="B8" s="2">
        <v>1.54080249997787</v>
      </c>
      <c r="C8" s="2">
        <v>1.54642709996551</v>
      </c>
      <c r="D8" s="2">
        <v>1.57553379994351</v>
      </c>
      <c r="E8" s="2">
        <v>1.53965120005887</v>
      </c>
      <c r="F8" s="2">
        <v>1.55507359991315</v>
      </c>
      <c r="G8" s="2">
        <v>1.55151689995545</v>
      </c>
      <c r="H8" s="2">
        <v>1.5590028000297</v>
      </c>
      <c r="I8" s="2">
        <v>1.55755939998198</v>
      </c>
      <c r="J8" s="2">
        <v>2.06486370007041</v>
      </c>
      <c r="K8" s="5">
        <f>MEDIAN(A8:J8)</f>
        <v>1.55329525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1.50903269997797</v>
      </c>
      <c r="B11" s="2">
        <v>1.48692960001062</v>
      </c>
      <c r="C11" s="2">
        <v>1.48723449988756</v>
      </c>
      <c r="D11" s="2">
        <v>1.48371629999019</v>
      </c>
      <c r="E11" s="2">
        <v>1.63573859992902</v>
      </c>
      <c r="F11" s="2">
        <v>1.59559639997314</v>
      </c>
      <c r="G11" s="2">
        <v>1.50891009997576</v>
      </c>
      <c r="H11" s="2">
        <v>1.50718700001016</v>
      </c>
      <c r="I11" s="2">
        <v>1.521510999999</v>
      </c>
      <c r="J11" s="2">
        <v>1.55562120000831</v>
      </c>
      <c r="K11" s="5">
        <f>MEDIAN(A11:J11)</f>
        <v>1.5089714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1.54080459999386</v>
      </c>
      <c r="B14" s="2">
        <v>1.61157099995762</v>
      </c>
      <c r="C14" s="2">
        <v>1.6175659999717</v>
      </c>
      <c r="D14" s="2">
        <v>1.66501989995595</v>
      </c>
      <c r="E14" s="2">
        <v>1.55448819999583</v>
      </c>
      <c r="F14" s="2">
        <v>1.53560860001016</v>
      </c>
      <c r="G14" s="2">
        <v>1.58480969991069</v>
      </c>
      <c r="H14" s="2">
        <v>1.56568280002102</v>
      </c>
      <c r="I14" s="2">
        <v>1.67141640000045</v>
      </c>
      <c r="J14" s="2">
        <v>1.58466069994028</v>
      </c>
      <c r="K14" s="5">
        <f>MEDIAN(A14:J14)</f>
        <v>1.5847352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1.50054310006089</v>
      </c>
      <c r="B17" s="2">
        <v>1.47482190001755</v>
      </c>
      <c r="C17" s="2">
        <v>1.49749970005359</v>
      </c>
      <c r="D17" s="2">
        <v>1.50106759998016</v>
      </c>
      <c r="E17" s="2">
        <v>1.60658200003672</v>
      </c>
      <c r="F17" s="2">
        <v>2.24730389995966</v>
      </c>
      <c r="G17" s="2">
        <v>1.55524600006174</v>
      </c>
      <c r="H17" s="2">
        <v>1.65348539990372</v>
      </c>
      <c r="I17" s="2">
        <v>1.63855100004002</v>
      </c>
      <c r="J17" s="2">
        <v>1.51489340001717</v>
      </c>
      <c r="K17" s="5">
        <f>MEDIAN(A17:J17)</f>
        <v>1.5350697</v>
      </c>
    </row>
    <row r="19">
      <c r="A19" s="14" t="s">
        <v>57</v>
      </c>
    </row>
    <row r="20">
      <c r="A20" s="2" t="s">
        <v>67</v>
      </c>
    </row>
    <row r="22">
      <c r="A22" s="15" t="s">
        <v>59</v>
      </c>
    </row>
    <row r="23">
      <c r="A23" s="2" t="s">
        <v>68</v>
      </c>
    </row>
    <row r="25">
      <c r="A25" s="16" t="s">
        <v>61</v>
      </c>
    </row>
    <row r="26">
      <c r="A26" s="2" t="s">
        <v>67</v>
      </c>
    </row>
    <row r="28">
      <c r="A28" s="17" t="s">
        <v>62</v>
      </c>
    </row>
    <row r="29">
      <c r="A29" s="2" t="s">
        <v>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70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0.0119109000079333</v>
      </c>
      <c r="B5" s="2">
        <v>0.0123850998934358</v>
      </c>
      <c r="C5" s="2">
        <v>0.0112117999233305</v>
      </c>
      <c r="D5" s="2">
        <v>0.0113039999268949</v>
      </c>
      <c r="E5" s="2">
        <v>0.0115070000756531</v>
      </c>
      <c r="F5" s="2">
        <v>0.0116196000017225</v>
      </c>
      <c r="G5" s="2">
        <v>0.0117826999630779</v>
      </c>
      <c r="H5" s="2">
        <v>0.0113168000243604</v>
      </c>
      <c r="I5" s="2">
        <v>0.0116363998968154</v>
      </c>
      <c r="J5" s="2">
        <v>0.0117482000496238</v>
      </c>
      <c r="K5" s="5">
        <f>MEDIAN(A5:J5)</f>
        <v>0.01162799995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0.0947440001182258</v>
      </c>
      <c r="B8" s="2">
        <v>0.0793794000055641</v>
      </c>
      <c r="C8" s="2">
        <v>0.0778119000606238</v>
      </c>
      <c r="D8" s="2">
        <v>0.0807827999815344</v>
      </c>
      <c r="E8" s="2">
        <v>0.0792402999941259</v>
      </c>
      <c r="F8" s="2">
        <v>0.0792789999395608</v>
      </c>
      <c r="G8" s="2">
        <v>0.0799748999997973</v>
      </c>
      <c r="H8" s="2">
        <v>0.0833119000308215</v>
      </c>
      <c r="I8" s="2">
        <v>0.0807392999995499</v>
      </c>
      <c r="J8" s="2">
        <v>0.0835875000339001</v>
      </c>
      <c r="K8" s="5">
        <f>MEDIAN(A8:J8)</f>
        <v>0.0803571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0.0490220999345183</v>
      </c>
      <c r="B11" s="2">
        <v>0.0340909000951796</v>
      </c>
      <c r="C11" s="2">
        <v>0.0279333000071346</v>
      </c>
      <c r="D11" s="2">
        <v>0.0305521001573652</v>
      </c>
      <c r="E11" s="2">
        <v>0.0313478999305516</v>
      </c>
      <c r="F11" s="2">
        <v>0.0294770000036805</v>
      </c>
      <c r="G11" s="2">
        <v>0.0291597999166697</v>
      </c>
      <c r="H11" s="2">
        <v>0.0302000998053699</v>
      </c>
      <c r="I11" s="2">
        <v>0.0302554999943822</v>
      </c>
      <c r="J11" s="2">
        <v>0.0311799000483006</v>
      </c>
      <c r="K11" s="5">
        <f>MEDIAN(A11:J11)</f>
        <v>0.03040380008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0.0981115999165922</v>
      </c>
      <c r="B14" s="2">
        <v>0.0800308000762015</v>
      </c>
      <c r="C14" s="2">
        <v>0.0768104000017046</v>
      </c>
      <c r="D14" s="2">
        <v>0.0790015000384301</v>
      </c>
      <c r="E14" s="2">
        <v>0.0804769000969827</v>
      </c>
      <c r="F14" s="2">
        <v>0.0820506999734789</v>
      </c>
      <c r="G14" s="2">
        <v>0.0822182998526841</v>
      </c>
      <c r="H14" s="2">
        <v>0.0817485000006854</v>
      </c>
      <c r="I14" s="2">
        <v>0.0846011000685393</v>
      </c>
      <c r="J14" s="2">
        <v>0.0798647999763488</v>
      </c>
      <c r="K14" s="5">
        <f>MEDIAN(A14:J14)</f>
        <v>0.08111270005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0.30169939994812</v>
      </c>
      <c r="B17" s="2">
        <v>0.0456209999974817</v>
      </c>
      <c r="C17" s="2">
        <v>0.0468987999483943</v>
      </c>
      <c r="D17" s="2">
        <v>0.0463442998006939</v>
      </c>
      <c r="E17" s="2">
        <v>0.0548990000970661</v>
      </c>
      <c r="F17" s="2">
        <v>0.0523093999363482</v>
      </c>
      <c r="G17" s="2">
        <v>0.0453608999960124</v>
      </c>
      <c r="H17" s="2">
        <v>0.0479025999084115</v>
      </c>
      <c r="I17" s="2">
        <v>0.0481627001427114</v>
      </c>
      <c r="J17" s="2">
        <v>0.0467879001516848</v>
      </c>
      <c r="K17" s="5">
        <f>MEDIAN(A17:J17)</f>
        <v>0.04740069993</v>
      </c>
    </row>
    <row r="19">
      <c r="A19" s="14" t="s">
        <v>57</v>
      </c>
    </row>
    <row r="20">
      <c r="A20" s="2" t="s">
        <v>71</v>
      </c>
    </row>
    <row r="22">
      <c r="A22" s="15" t="s">
        <v>59</v>
      </c>
    </row>
    <row r="23">
      <c r="A23" s="2" t="s">
        <v>72</v>
      </c>
    </row>
    <row r="25">
      <c r="A25" s="16" t="s">
        <v>61</v>
      </c>
    </row>
    <row r="26">
      <c r="A26" s="2" t="s">
        <v>71</v>
      </c>
    </row>
    <row r="28">
      <c r="A28" s="17" t="s">
        <v>62</v>
      </c>
    </row>
    <row r="29">
      <c r="A29" s="2" t="s">
        <v>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74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0.013029399793595</v>
      </c>
      <c r="B5" s="2">
        <v>0.012317799963057</v>
      </c>
      <c r="C5" s="2">
        <v>0.0121610001660883</v>
      </c>
      <c r="D5" s="2">
        <v>0.0123081000056117</v>
      </c>
      <c r="E5" s="2">
        <v>0.0120012001134455</v>
      </c>
      <c r="F5" s="2">
        <v>0.0121532999910414</v>
      </c>
      <c r="G5" s="2">
        <v>0.0119765000417828</v>
      </c>
      <c r="H5" s="2">
        <v>0.0123439999297261</v>
      </c>
      <c r="I5" s="2">
        <v>0.0122396999504417</v>
      </c>
      <c r="J5" s="2">
        <v>0.0121253000106662</v>
      </c>
      <c r="K5" s="5">
        <f>MEDIAN(A5:J5)</f>
        <v>0.01220035006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0.246434099972248</v>
      </c>
      <c r="B8" s="2">
        <v>0.239712900016456</v>
      </c>
      <c r="C8" s="2">
        <v>0.242756800027564</v>
      </c>
      <c r="D8" s="2">
        <v>0.242919999873265</v>
      </c>
      <c r="E8" s="2">
        <v>0.249816099880263</v>
      </c>
      <c r="F8" s="2">
        <v>0.254730500048026</v>
      </c>
      <c r="G8" s="2">
        <v>0.246546499896794</v>
      </c>
      <c r="H8" s="2">
        <v>0.245481099933385</v>
      </c>
      <c r="I8" s="2">
        <v>0.243866499979048</v>
      </c>
      <c r="J8" s="2">
        <v>0.24207039992325</v>
      </c>
      <c r="K8" s="5">
        <f>MEDIAN(A8:J8)</f>
        <v>0.2446738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0.0759390001185238</v>
      </c>
      <c r="B11" s="2">
        <v>0.0446885998826473</v>
      </c>
      <c r="C11" s="2">
        <v>0.0437559999991208</v>
      </c>
      <c r="D11" s="2">
        <v>0.042733300011605</v>
      </c>
      <c r="E11" s="2">
        <v>0.0437471000477671</v>
      </c>
      <c r="F11" s="2">
        <v>0.0430364001076668</v>
      </c>
      <c r="G11" s="2">
        <v>0.044865199830383</v>
      </c>
      <c r="H11" s="2">
        <v>0.043949200073257</v>
      </c>
      <c r="I11" s="2">
        <v>0.0450251000002026</v>
      </c>
      <c r="J11" s="2">
        <v>0.0438333000056445</v>
      </c>
      <c r="K11" s="5">
        <f>MEDIAN(A11:J11)</f>
        <v>0.04389125004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0.244197800057008</v>
      </c>
      <c r="B14" s="2">
        <v>0.238701499998569</v>
      </c>
      <c r="C14" s="2">
        <v>0.243912699865177</v>
      </c>
      <c r="D14" s="2">
        <v>0.246626700041815</v>
      </c>
      <c r="E14" s="2">
        <v>0.243076600134372</v>
      </c>
      <c r="F14" s="2">
        <v>0.232337899971753</v>
      </c>
      <c r="G14" s="2">
        <v>0.240571299800649</v>
      </c>
      <c r="H14" s="2">
        <v>0.251346000004559</v>
      </c>
      <c r="I14" s="2">
        <v>0.247178599936887</v>
      </c>
      <c r="J14" s="2">
        <v>0.236900399904698</v>
      </c>
      <c r="K14" s="5">
        <f>MEDIAN(A14:J14)</f>
        <v>0.24349465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0.107510900124907</v>
      </c>
      <c r="B17" s="2">
        <v>0.115752300014719</v>
      </c>
      <c r="C17" s="2">
        <v>0.114050599979236</v>
      </c>
      <c r="D17" s="2">
        <v>0.112043099943548</v>
      </c>
      <c r="E17" s="2">
        <v>0.111453999998047</v>
      </c>
      <c r="F17" s="2">
        <v>0.108655099989846</v>
      </c>
      <c r="G17" s="2">
        <v>0.112815799890086</v>
      </c>
      <c r="H17" s="2">
        <v>0.106576200108975</v>
      </c>
      <c r="I17" s="2">
        <v>0.109691000077873</v>
      </c>
      <c r="J17" s="2">
        <v>0.11089550005272</v>
      </c>
      <c r="K17" s="5">
        <f>MEDIAN(A17:J17)</f>
        <v>0.11117475</v>
      </c>
    </row>
    <row r="19">
      <c r="A19" s="14" t="s">
        <v>57</v>
      </c>
    </row>
    <row r="20">
      <c r="A20" s="2" t="s">
        <v>75</v>
      </c>
    </row>
    <row r="22">
      <c r="A22" s="15" t="s">
        <v>59</v>
      </c>
    </row>
    <row r="23">
      <c r="A23" s="2" t="s">
        <v>76</v>
      </c>
    </row>
    <row r="25">
      <c r="A25" s="16" t="s">
        <v>61</v>
      </c>
    </row>
    <row r="26">
      <c r="A26" s="2" t="s">
        <v>75</v>
      </c>
    </row>
    <row r="28">
      <c r="A28" s="17" t="s">
        <v>62</v>
      </c>
    </row>
    <row r="29">
      <c r="A29" s="2" t="s">
        <v>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18" t="s">
        <v>78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2.64500034973025E-4</v>
      </c>
      <c r="B5" s="2">
        <v>2.37999949604272E-4</v>
      </c>
      <c r="C5" s="2">
        <v>2.64499918557703E-4</v>
      </c>
      <c r="D5" s="2">
        <v>2.65799928456544E-4</v>
      </c>
      <c r="E5" s="2">
        <v>2.33600032515823E-4</v>
      </c>
      <c r="F5" s="2">
        <v>2.63600028119981E-4</v>
      </c>
      <c r="G5" s="2">
        <v>2.26099975407123E-4</v>
      </c>
      <c r="H5" s="2">
        <v>2.39199958741664E-4</v>
      </c>
      <c r="I5" s="2">
        <v>2.39199958741664E-4</v>
      </c>
      <c r="J5" s="2">
        <v>2.30000005103647E-4</v>
      </c>
      <c r="K5" s="5">
        <f>MEDIAN(A5:J5)</f>
        <v>0.0002391999587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0.0722030999604612</v>
      </c>
      <c r="B8" s="2">
        <v>0.0744610000401735</v>
      </c>
      <c r="C8" s="2">
        <v>0.0738951000384986</v>
      </c>
      <c r="D8" s="2">
        <v>0.0876359000103548</v>
      </c>
      <c r="E8" s="2">
        <v>0.0759436000371351</v>
      </c>
      <c r="F8" s="2">
        <v>0.0822136000497266</v>
      </c>
      <c r="G8" s="2">
        <v>0.0737672999966889</v>
      </c>
      <c r="H8" s="2">
        <v>0.0762493999209255</v>
      </c>
      <c r="I8" s="2">
        <v>0.0753028000472113</v>
      </c>
      <c r="J8" s="2">
        <v>0.0761635000817477</v>
      </c>
      <c r="K8" s="5">
        <f>MEDIAN(A8:J8)</f>
        <v>0.07562320004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0.0106408999999985</v>
      </c>
      <c r="B11" s="2">
        <v>0.0100649000378325</v>
      </c>
      <c r="C11" s="2">
        <v>0.0093805999495089</v>
      </c>
      <c r="D11" s="2">
        <v>0.00943029997870326</v>
      </c>
      <c r="E11" s="2">
        <v>0.00985099992249161</v>
      </c>
      <c r="F11" s="2">
        <v>0.00956369994673878</v>
      </c>
      <c r="G11" s="2">
        <v>0.0096958999056369</v>
      </c>
      <c r="H11" s="2">
        <v>0.0103293999563902</v>
      </c>
      <c r="I11" s="2">
        <v>0.0090335999848321</v>
      </c>
      <c r="J11" s="2">
        <v>0.00931420002598315</v>
      </c>
      <c r="K11" s="5">
        <f>MEDIAN(A11:J11)</f>
        <v>0.009629799926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0.0791355000110343</v>
      </c>
      <c r="B14" s="2">
        <v>0.0739748999476432</v>
      </c>
      <c r="C14" s="2">
        <v>0.0731833999743685</v>
      </c>
      <c r="D14" s="2">
        <v>0.0741192999994382</v>
      </c>
      <c r="E14" s="2">
        <v>0.0735195999732241</v>
      </c>
      <c r="F14" s="2">
        <v>0.0753455000231042</v>
      </c>
      <c r="G14" s="2">
        <v>0.0778966000070795</v>
      </c>
      <c r="H14" s="2">
        <v>0.0731002999236807</v>
      </c>
      <c r="I14" s="2">
        <v>0.0768941999413073</v>
      </c>
      <c r="J14" s="2">
        <v>0.0725196000421419</v>
      </c>
      <c r="K14" s="5">
        <f>MEDIAN(A14:J14)</f>
        <v>0.07404709997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0.0358161999611184</v>
      </c>
      <c r="B17" s="2">
        <v>0.0350496000610291</v>
      </c>
      <c r="C17" s="2">
        <v>0.0367834999924525</v>
      </c>
      <c r="D17" s="2">
        <v>0.0339824999682605</v>
      </c>
      <c r="E17" s="2">
        <v>0.03547530004289</v>
      </c>
      <c r="F17" s="2">
        <v>0.0362274000653997</v>
      </c>
      <c r="G17" s="2">
        <v>0.0355953000253066</v>
      </c>
      <c r="H17" s="2">
        <v>0.0352240999927744</v>
      </c>
      <c r="I17" s="2">
        <v>0.0359750000061467</v>
      </c>
      <c r="J17" s="2">
        <v>0.0360402999212965</v>
      </c>
      <c r="K17" s="5">
        <f>MEDIAN(A17:J17)</f>
        <v>0.03570574999</v>
      </c>
    </row>
    <row r="19">
      <c r="A19" s="14" t="s">
        <v>57</v>
      </c>
    </row>
    <row r="20">
      <c r="A20" s="2" t="s">
        <v>79</v>
      </c>
    </row>
    <row r="22">
      <c r="A22" s="15" t="s">
        <v>59</v>
      </c>
    </row>
    <row r="23">
      <c r="A23" s="2" t="s">
        <v>80</v>
      </c>
    </row>
    <row r="25">
      <c r="A25" s="16" t="s">
        <v>61</v>
      </c>
    </row>
    <row r="26">
      <c r="A26" s="2" t="s">
        <v>79</v>
      </c>
    </row>
    <row r="28">
      <c r="A28" s="17" t="s">
        <v>62</v>
      </c>
    </row>
    <row r="29">
      <c r="A29" s="2" t="s">
        <v>81</v>
      </c>
    </row>
  </sheetData>
  <hyperlinks>
    <hyperlink r:id="rId1" ref="A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82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0.0079369000159204</v>
      </c>
      <c r="B5" s="2">
        <v>0.00781480001751333</v>
      </c>
      <c r="C5" s="2">
        <v>0.00782890000846237</v>
      </c>
      <c r="D5" s="2">
        <v>0.00855799997225403</v>
      </c>
      <c r="E5" s="2">
        <v>0.0085199000313878</v>
      </c>
      <c r="F5" s="2">
        <v>0.00890640006400644</v>
      </c>
      <c r="G5" s="2">
        <v>0.00878409994766116</v>
      </c>
      <c r="H5" s="2">
        <v>0.00779249996412545</v>
      </c>
      <c r="I5" s="2">
        <v>0.00788370007649064</v>
      </c>
      <c r="J5" s="2">
        <v>0.00855739996768534</v>
      </c>
      <c r="K5" s="5">
        <f>MEDIAN(A5:J5)</f>
        <v>0.008228400024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1.16037940001115</v>
      </c>
      <c r="B8" s="2">
        <v>1.14945410005748</v>
      </c>
      <c r="C8" s="2">
        <v>1.13158310006838</v>
      </c>
      <c r="D8" s="2">
        <v>1.13941070006694</v>
      </c>
      <c r="E8" s="2">
        <v>1.17769160005263</v>
      </c>
      <c r="F8" s="2">
        <v>1.52129740000236</v>
      </c>
      <c r="G8" s="2">
        <v>1.13387330004479</v>
      </c>
      <c r="H8" s="2">
        <v>1.13326929998584</v>
      </c>
      <c r="I8" s="2">
        <v>1.14299530000425</v>
      </c>
      <c r="J8" s="2">
        <v>1.15011709998361</v>
      </c>
      <c r="K8" s="5">
        <f>MEDIAN(A8:J8)</f>
        <v>1.1462247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0.381295799976214</v>
      </c>
      <c r="B11" s="2">
        <v>0.362199699971824</v>
      </c>
      <c r="C11" s="2">
        <v>0.350950099993497</v>
      </c>
      <c r="D11" s="2">
        <v>0.36008810007479</v>
      </c>
      <c r="E11" s="2">
        <v>0.350427200086414</v>
      </c>
      <c r="F11" s="2">
        <v>0.343838899978436</v>
      </c>
      <c r="G11" s="2">
        <v>0.385328899952583</v>
      </c>
      <c r="H11" s="2">
        <v>0.366607500007376</v>
      </c>
      <c r="I11" s="2">
        <v>0.366235699970275</v>
      </c>
      <c r="J11" s="2">
        <v>0.403438200009986</v>
      </c>
      <c r="K11" s="5">
        <f>MEDIAN(A11:J11)</f>
        <v>0.3642177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0.399456499959342</v>
      </c>
      <c r="B14" s="2">
        <v>0.435010600020177</v>
      </c>
      <c r="C14" s="2">
        <v>0.409373800037428</v>
      </c>
      <c r="D14" s="2">
        <v>0.383727799984626</v>
      </c>
      <c r="E14" s="2">
        <v>0.398375399992801</v>
      </c>
      <c r="F14" s="2">
        <v>0.409624699968844</v>
      </c>
      <c r="G14" s="2">
        <v>0.419980200007557</v>
      </c>
      <c r="H14" s="2">
        <v>0.408010900020599</v>
      </c>
      <c r="I14" s="2">
        <v>0.399540199898183</v>
      </c>
      <c r="J14" s="2">
        <v>0.38222690008115</v>
      </c>
      <c r="K14" s="5">
        <f>MEDIAN(A14:J14)</f>
        <v>0.40377555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0.86679609993007</v>
      </c>
      <c r="B17" s="2">
        <v>0.877472799969837</v>
      </c>
      <c r="C17" s="2">
        <v>0.868599399924278</v>
      </c>
      <c r="D17" s="2">
        <v>0.8864101000363</v>
      </c>
      <c r="E17" s="2">
        <v>0.876499300007708</v>
      </c>
      <c r="F17" s="2">
        <v>0.885272399988025</v>
      </c>
      <c r="G17" s="2">
        <v>0.892751400009729</v>
      </c>
      <c r="H17" s="2">
        <v>0.882453499943949</v>
      </c>
      <c r="I17" s="2">
        <v>0.890661699930205</v>
      </c>
      <c r="J17" s="2">
        <v>0.863697799970395</v>
      </c>
      <c r="K17" s="5">
        <f>MEDIAN(A17:J17)</f>
        <v>0.87996315</v>
      </c>
    </row>
    <row r="19">
      <c r="A19" s="14" t="s">
        <v>57</v>
      </c>
    </row>
    <row r="20">
      <c r="A20" s="2" t="s">
        <v>83</v>
      </c>
    </row>
    <row r="22">
      <c r="A22" s="15" t="s">
        <v>59</v>
      </c>
    </row>
    <row r="23">
      <c r="A23" s="2" t="s">
        <v>84</v>
      </c>
    </row>
    <row r="25">
      <c r="A25" s="16" t="s">
        <v>61</v>
      </c>
    </row>
    <row r="26">
      <c r="A26" s="2" t="s">
        <v>85</v>
      </c>
    </row>
    <row r="28">
      <c r="A28" s="17" t="s">
        <v>62</v>
      </c>
    </row>
    <row r="29">
      <c r="A29" s="2" t="s">
        <v>86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87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1.04000093415379E-4</v>
      </c>
      <c r="B5" s="2">
        <v>1.62400072440505E-4</v>
      </c>
      <c r="C5" s="2">
        <v>1.97699991986155E-4</v>
      </c>
      <c r="D5" s="2">
        <v>1.48800085298717E-4</v>
      </c>
      <c r="E5" s="2">
        <v>1.73900043591856E-4</v>
      </c>
      <c r="F5" s="2">
        <v>1.40200019814074E-4</v>
      </c>
      <c r="G5" s="2">
        <v>1.58200040459632E-4</v>
      </c>
      <c r="H5" s="2">
        <v>1.63400080054998E-4</v>
      </c>
      <c r="I5" s="2">
        <v>1.55700021423399E-4</v>
      </c>
      <c r="J5" s="2">
        <v>1.98900001123547E-4</v>
      </c>
      <c r="K5" s="5">
        <f>MEDIAN(A5:J5)</f>
        <v>0.0001603000565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0.00322469999082386</v>
      </c>
      <c r="B8" s="2">
        <v>0.00268799997866153</v>
      </c>
      <c r="C8" s="2">
        <v>0.00288949999958276</v>
      </c>
      <c r="D8" s="2">
        <v>0.00298900005873292</v>
      </c>
      <c r="E8" s="2">
        <v>0.00275640003383159</v>
      </c>
      <c r="F8" s="2">
        <v>0.00288489996455609</v>
      </c>
      <c r="G8" s="2">
        <v>0.00280690006911754</v>
      </c>
      <c r="H8" s="2">
        <v>0.00299279997125268</v>
      </c>
      <c r="I8" s="2">
        <v>0.00300999998580664</v>
      </c>
      <c r="J8" s="2">
        <v>0.00282309995964169</v>
      </c>
      <c r="K8" s="5">
        <f>MEDIAN(A8:J8)</f>
        <v>0.002887199982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0.0011159999994561</v>
      </c>
      <c r="B11" s="2">
        <v>0.00116059998981654</v>
      </c>
      <c r="C11" s="2">
        <v>0.00110719993244856</v>
      </c>
      <c r="D11" s="2">
        <v>0.00132289994508028</v>
      </c>
      <c r="E11" s="2">
        <v>0.00121319992467761</v>
      </c>
      <c r="F11" s="2">
        <v>0.00101270002778619</v>
      </c>
      <c r="G11" s="2">
        <v>0.00112569995690137</v>
      </c>
      <c r="H11" s="2">
        <v>0.00173869996797293</v>
      </c>
      <c r="I11" s="2">
        <v>0.0014196999836713</v>
      </c>
      <c r="J11" s="2">
        <v>0.00115609995555132</v>
      </c>
      <c r="K11" s="5">
        <f>MEDIAN(A11:J11)</f>
        <v>0.001158349973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0.0015449000056833</v>
      </c>
      <c r="B14" s="2">
        <v>0.00153530004899948</v>
      </c>
      <c r="C14" s="2">
        <v>0.00142470002174377</v>
      </c>
      <c r="D14" s="2">
        <v>0.00158949999604374</v>
      </c>
      <c r="E14" s="2">
        <v>0.00149589998181909</v>
      </c>
      <c r="F14" s="2">
        <v>0.00132549996487796</v>
      </c>
      <c r="G14" s="2">
        <v>0.00160159997176378</v>
      </c>
      <c r="H14" s="2">
        <v>0.00135169993154704</v>
      </c>
      <c r="I14" s="2">
        <v>0.00151830003596842</v>
      </c>
      <c r="J14" s="2">
        <v>0.00141679996158927</v>
      </c>
      <c r="K14" s="5">
        <f>MEDIAN(A14:J14)</f>
        <v>0.001507100009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0.00106679997406899</v>
      </c>
      <c r="B17" s="2">
        <v>0.00104390003252774</v>
      </c>
      <c r="C17" s="2">
        <v>0.00120230007451027</v>
      </c>
      <c r="D17" s="2">
        <v>0.001283899997361</v>
      </c>
      <c r="E17" s="2">
        <v>0.00107600004412233</v>
      </c>
      <c r="F17" s="2">
        <v>0.00110009999480098</v>
      </c>
      <c r="G17" s="2">
        <v>0.0010543999960646</v>
      </c>
      <c r="H17" s="2">
        <v>9.78500000201165E-4</v>
      </c>
      <c r="I17" s="2">
        <v>0.0011973000364378</v>
      </c>
      <c r="J17" s="2">
        <v>0.00120749999769032</v>
      </c>
      <c r="K17" s="5">
        <f>MEDIAN(A17:J17)</f>
        <v>0.001088050019</v>
      </c>
    </row>
    <row r="19">
      <c r="A19" s="14" t="s">
        <v>57</v>
      </c>
    </row>
    <row r="20">
      <c r="A20" s="2" t="s">
        <v>88</v>
      </c>
    </row>
    <row r="22">
      <c r="A22" s="15" t="s">
        <v>59</v>
      </c>
    </row>
    <row r="23">
      <c r="A23" s="2" t="s">
        <v>89</v>
      </c>
    </row>
    <row r="25">
      <c r="A25" s="16" t="s">
        <v>61</v>
      </c>
    </row>
    <row r="26">
      <c r="A26" s="2" t="s">
        <v>90</v>
      </c>
    </row>
    <row r="28">
      <c r="A28" s="17" t="s">
        <v>62</v>
      </c>
    </row>
    <row r="29">
      <c r="A29" s="2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92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1.66199984960258E-4</v>
      </c>
      <c r="B5" s="2">
        <v>2.74099991656839E-4</v>
      </c>
      <c r="C5" s="2">
        <v>2.00300011783838E-4</v>
      </c>
      <c r="D5" s="2">
        <v>2.07100063562393E-4</v>
      </c>
      <c r="E5" s="2">
        <v>3.39800026267766E-4</v>
      </c>
      <c r="F5" s="2">
        <v>1.81099982000887E-4</v>
      </c>
      <c r="G5" s="2">
        <v>1.58399925567209E-4</v>
      </c>
      <c r="H5" s="2">
        <v>1.92899955436587E-4</v>
      </c>
      <c r="I5" s="2">
        <v>2.19500041566789E-4</v>
      </c>
      <c r="J5" s="2">
        <v>1.59099930897355E-4</v>
      </c>
      <c r="K5" s="5">
        <f>MEDIAN(A5:J5)</f>
        <v>0.0001965999836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0.00115120003465563</v>
      </c>
      <c r="B8" s="2">
        <v>9.07400040887296E-4</v>
      </c>
      <c r="C8" s="2">
        <v>8.43100016936659E-4</v>
      </c>
      <c r="D8" s="2">
        <v>9.19500016607344E-4</v>
      </c>
      <c r="E8" s="2">
        <v>0.00107479991856962</v>
      </c>
      <c r="F8" s="2">
        <v>9.23800049349665E-4</v>
      </c>
      <c r="G8" s="2">
        <v>0.00110939994920045</v>
      </c>
      <c r="H8" s="2">
        <v>0.00120419997256249</v>
      </c>
      <c r="I8" s="2">
        <v>0.00103379995562136</v>
      </c>
      <c r="J8" s="2">
        <v>0.00113919994328171</v>
      </c>
      <c r="K8" s="5">
        <f>MEDIAN(A8:J8)</f>
        <v>0.001054299937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6.07399968430399E-4</v>
      </c>
      <c r="B11" s="2">
        <v>8.04300070740282E-4</v>
      </c>
      <c r="C11" s="2">
        <v>5.5710005108267E-4</v>
      </c>
      <c r="D11" s="2">
        <v>5.5410002823919E-4</v>
      </c>
      <c r="E11" s="2">
        <v>5.83600020036101E-4</v>
      </c>
      <c r="F11" s="2">
        <v>6.72199996188283E-4</v>
      </c>
      <c r="G11" s="2">
        <v>7.14199966751039E-4</v>
      </c>
      <c r="H11" s="2">
        <v>5.71500044316053E-4</v>
      </c>
      <c r="I11" s="2">
        <v>6.04899949394166E-4</v>
      </c>
      <c r="J11" s="2">
        <v>7.45500088669359E-4</v>
      </c>
      <c r="K11" s="5">
        <f>MEDIAN(A11:J11)</f>
        <v>0.0006061499589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0.00175409996882081</v>
      </c>
      <c r="B14" s="2">
        <v>8.18399945273995E-4</v>
      </c>
      <c r="C14" s="2">
        <v>9.61099984124302E-4</v>
      </c>
      <c r="D14" s="2">
        <v>0.00109760009218007</v>
      </c>
      <c r="E14" s="2">
        <v>8.36300081573426E-4</v>
      </c>
      <c r="F14" s="2">
        <v>0.00107650004792958</v>
      </c>
      <c r="G14" s="2">
        <v>8.4300001617521E-4</v>
      </c>
      <c r="H14" s="2">
        <v>0.00101719994563609</v>
      </c>
      <c r="I14" s="2">
        <v>8.69199982844293E-4</v>
      </c>
      <c r="J14" s="2">
        <v>0.00104890007060021</v>
      </c>
      <c r="K14" s="5">
        <f>MEDIAN(A14:J14)</f>
        <v>0.0009891499649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6.5770000219345E-4</v>
      </c>
      <c r="B17" s="2">
        <v>7.22700031474232E-4</v>
      </c>
      <c r="C17" s="2">
        <v>9.11699957214295E-4</v>
      </c>
      <c r="D17" s="2">
        <v>7.92199978604912E-4</v>
      </c>
      <c r="E17" s="2">
        <v>7.57899950258433E-4</v>
      </c>
      <c r="F17" s="2">
        <v>8.37899977341294E-4</v>
      </c>
      <c r="G17" s="2">
        <v>7.81700015068054E-4</v>
      </c>
      <c r="H17" s="2">
        <v>7.17499991878867E-4</v>
      </c>
      <c r="I17" s="2">
        <v>8.43300018459558E-4</v>
      </c>
      <c r="J17" s="2">
        <v>8.11000005342066E-4</v>
      </c>
      <c r="K17" s="5">
        <f>MEDIAN(A17:J17)</f>
        <v>0.0007869499968</v>
      </c>
    </row>
    <row r="19">
      <c r="A19" s="14" t="s">
        <v>57</v>
      </c>
    </row>
    <row r="20">
      <c r="A20" s="2" t="s">
        <v>93</v>
      </c>
    </row>
    <row r="22">
      <c r="A22" s="15" t="s">
        <v>59</v>
      </c>
    </row>
    <row r="23">
      <c r="A23" s="2" t="s">
        <v>94</v>
      </c>
    </row>
    <row r="25">
      <c r="A25" s="16" t="s">
        <v>61</v>
      </c>
    </row>
    <row r="26">
      <c r="A26" s="2" t="s">
        <v>93</v>
      </c>
    </row>
    <row r="28">
      <c r="A28" s="17" t="s">
        <v>62</v>
      </c>
    </row>
    <row r="29">
      <c r="A29" s="2" t="s">
        <v>95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96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0.00137209997046738</v>
      </c>
      <c r="B5" s="2">
        <v>0.00136759993620216</v>
      </c>
      <c r="C5" s="2">
        <v>0.00130969996098428</v>
      </c>
      <c r="D5" s="2">
        <v>0.00142149999737739</v>
      </c>
      <c r="E5" s="2">
        <v>0.0013347000349313</v>
      </c>
      <c r="F5" s="2">
        <v>0.00141349993646144</v>
      </c>
      <c r="G5" s="2">
        <v>0.00134810002055019</v>
      </c>
      <c r="H5" s="2">
        <v>0.00140700000338256</v>
      </c>
      <c r="I5" s="2">
        <v>0.00142560002859681</v>
      </c>
      <c r="J5" s="2">
        <v>0.00130739994347095</v>
      </c>
      <c r="K5" s="5">
        <f>MEDIAN(A5:J5)</f>
        <v>0.001369849953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0.101035399944521</v>
      </c>
      <c r="B8" s="2">
        <v>0.107700099935755</v>
      </c>
      <c r="C8" s="2">
        <v>0.104543399997055</v>
      </c>
      <c r="D8" s="2">
        <v>0.0984493000432848</v>
      </c>
      <c r="E8" s="2">
        <v>0.101969000068493</v>
      </c>
      <c r="F8" s="2">
        <v>0.110132400062866</v>
      </c>
      <c r="G8" s="2">
        <v>0.100469399942085</v>
      </c>
      <c r="H8" s="2">
        <v>0.103257699985988</v>
      </c>
      <c r="I8" s="2">
        <v>0.101399000035598</v>
      </c>
      <c r="J8" s="2">
        <v>0.102489700075238</v>
      </c>
      <c r="K8" s="5">
        <f>MEDIAN(A8:J8)</f>
        <v>0.1022293501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0.0981869000243023</v>
      </c>
      <c r="B11" s="2">
        <v>0.100380399962887</v>
      </c>
      <c r="C11" s="2">
        <v>0.102164999931119</v>
      </c>
      <c r="D11" s="2">
        <v>0.0976044000126421</v>
      </c>
      <c r="E11" s="2">
        <v>0.10373700002674</v>
      </c>
      <c r="F11" s="2">
        <v>0.109591600019484</v>
      </c>
      <c r="G11" s="2">
        <v>0.102708099992014</v>
      </c>
      <c r="H11" s="2">
        <v>0.101707099936902</v>
      </c>
      <c r="I11" s="2">
        <v>0.107588200015015</v>
      </c>
      <c r="J11" s="2">
        <v>0.100928500061854</v>
      </c>
      <c r="K11" s="5">
        <f>MEDIAN(A11:J11)</f>
        <v>0.1019360499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0.111584499944001</v>
      </c>
      <c r="B14" s="2">
        <v>0.0995249000843614</v>
      </c>
      <c r="C14" s="2">
        <v>0.105119600077159</v>
      </c>
      <c r="D14" s="2">
        <v>0.111496299970895</v>
      </c>
      <c r="E14" s="2">
        <v>0.1075792000629</v>
      </c>
      <c r="F14" s="2">
        <v>0.101340300054289</v>
      </c>
      <c r="G14" s="2">
        <v>0.102600600104779</v>
      </c>
      <c r="H14" s="2">
        <v>0.0982943000271916</v>
      </c>
      <c r="I14" s="2">
        <v>0.100818999926559</v>
      </c>
      <c r="J14" s="2">
        <v>0.104065499966964</v>
      </c>
      <c r="K14" s="5">
        <f>MEDIAN(A14:J14)</f>
        <v>0.10333305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0.0914510999573394</v>
      </c>
      <c r="B17" s="2">
        <v>0.0891587000805884</v>
      </c>
      <c r="C17" s="2">
        <v>0.0908129999879747</v>
      </c>
      <c r="D17" s="2">
        <v>0.0886968000559136</v>
      </c>
      <c r="E17" s="2">
        <v>0.0902663000160828</v>
      </c>
      <c r="F17" s="2">
        <v>0.0896302000619471</v>
      </c>
      <c r="G17" s="2">
        <v>0.0897139000007882</v>
      </c>
      <c r="H17" s="2">
        <v>0.0914952999446541</v>
      </c>
      <c r="I17" s="2">
        <v>0.0910292000044137</v>
      </c>
      <c r="J17" s="2">
        <v>0.0888913999078795</v>
      </c>
      <c r="K17" s="5">
        <f>MEDIAN(A17:J17)</f>
        <v>0.08999010001</v>
      </c>
    </row>
    <row r="19">
      <c r="A19" s="14" t="s">
        <v>57</v>
      </c>
    </row>
    <row r="20">
      <c r="A20" s="2" t="s">
        <v>97</v>
      </c>
    </row>
    <row r="22">
      <c r="A22" s="15" t="s">
        <v>59</v>
      </c>
    </row>
    <row r="23">
      <c r="A23" s="2" t="s">
        <v>98</v>
      </c>
    </row>
    <row r="25">
      <c r="A25" s="16" t="s">
        <v>61</v>
      </c>
    </row>
    <row r="26">
      <c r="A26" s="2" t="s">
        <v>99</v>
      </c>
    </row>
    <row r="28">
      <c r="A28" s="17" t="s">
        <v>62</v>
      </c>
    </row>
    <row r="29">
      <c r="A29" s="2" t="s">
        <v>100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101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0.0153043000027537</v>
      </c>
      <c r="B5" s="2">
        <v>0.0124038999201729</v>
      </c>
      <c r="C5" s="2">
        <v>0.0122583999764174</v>
      </c>
      <c r="D5" s="2">
        <v>0.0125340000959113</v>
      </c>
      <c r="E5" s="2">
        <v>0.0128205999499186</v>
      </c>
      <c r="F5" s="2">
        <v>0.0126961000496521</v>
      </c>
      <c r="G5" s="2">
        <v>0.012917699990794</v>
      </c>
      <c r="H5" s="2">
        <v>0.0121451000450178</v>
      </c>
      <c r="I5" s="2">
        <v>0.0123100000200793</v>
      </c>
      <c r="J5" s="2">
        <v>0.012942099943757</v>
      </c>
      <c r="K5" s="5">
        <f>MEDIAN(A5:J5)</f>
        <v>0.01261505007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26.7251581000164</v>
      </c>
      <c r="B8" s="2">
        <v>26.9925494999624</v>
      </c>
      <c r="C8" s="2">
        <v>26.8111648000776</v>
      </c>
      <c r="D8" s="2">
        <v>27.0890599000267</v>
      </c>
      <c r="E8" s="2">
        <v>27.2026770000811</v>
      </c>
      <c r="F8" s="2">
        <v>27.1649303000886</v>
      </c>
      <c r="G8" s="2">
        <v>27.2200037000002</v>
      </c>
      <c r="H8" s="2">
        <v>26.8246331999544</v>
      </c>
      <c r="I8" s="2">
        <v>27.0038631999632</v>
      </c>
      <c r="J8" s="2">
        <v>26.7255835999967</v>
      </c>
      <c r="K8" s="5">
        <f>MEDIAN(A8:J8)</f>
        <v>26.99820635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0.986655200016684</v>
      </c>
      <c r="B11" s="2">
        <v>1.00358779996167</v>
      </c>
      <c r="C11" s="2">
        <v>1.01436829997692</v>
      </c>
      <c r="D11" s="2">
        <v>1.00777419994119</v>
      </c>
      <c r="E11" s="2">
        <v>1.05531560000963</v>
      </c>
      <c r="F11" s="2">
        <v>1.06144029996357</v>
      </c>
      <c r="G11" s="2">
        <v>1.03537489997688</v>
      </c>
      <c r="H11" s="2">
        <v>1.008264199947</v>
      </c>
      <c r="I11" s="2">
        <v>1.04157580004539</v>
      </c>
      <c r="J11" s="2">
        <v>0.99564239999745</v>
      </c>
      <c r="K11" s="5">
        <f>MEDIAN(A11:J11)</f>
        <v>1.01131625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26.5814822999527</v>
      </c>
      <c r="B14" s="2">
        <v>26.7650096999714</v>
      </c>
      <c r="C14" s="2">
        <v>27.3307377999881</v>
      </c>
      <c r="D14" s="2">
        <v>27.1789316999493</v>
      </c>
      <c r="E14" s="2">
        <v>26.69269289996</v>
      </c>
      <c r="F14" s="2">
        <v>27.2743695999961</v>
      </c>
      <c r="G14" s="2">
        <v>27.1570372000569</v>
      </c>
      <c r="H14" s="2">
        <v>29.5967369000427</v>
      </c>
      <c r="I14" s="2">
        <v>27.1447976001072</v>
      </c>
      <c r="J14" s="2">
        <v>26.9626225000247</v>
      </c>
      <c r="K14" s="5">
        <f>MEDIAN(A14:J14)</f>
        <v>27.1509174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26.9049166000913</v>
      </c>
      <c r="B17" s="2">
        <v>26.7267998000606</v>
      </c>
      <c r="C17" s="2">
        <v>27.08106090012</v>
      </c>
      <c r="D17" s="2">
        <v>27.1433943998999</v>
      </c>
      <c r="E17" s="2">
        <v>27.1121915997937</v>
      </c>
      <c r="F17" s="2">
        <v>27.3037634999491</v>
      </c>
      <c r="G17" s="2">
        <v>27.0225541000254</v>
      </c>
      <c r="H17" s="2">
        <v>27.0894689001142</v>
      </c>
      <c r="I17" s="2">
        <v>27.2562132000457</v>
      </c>
      <c r="J17" s="2">
        <v>27.0864250001031</v>
      </c>
      <c r="K17" s="5">
        <f>MEDIAN(A17:J17)</f>
        <v>27.08794695</v>
      </c>
    </row>
    <row r="19">
      <c r="A19" s="14" t="s">
        <v>57</v>
      </c>
    </row>
    <row r="20">
      <c r="A20" s="2" t="s">
        <v>102</v>
      </c>
    </row>
    <row r="22">
      <c r="A22" s="15" t="s">
        <v>59</v>
      </c>
    </row>
    <row r="23">
      <c r="A23" s="2" t="s">
        <v>103</v>
      </c>
    </row>
    <row r="25">
      <c r="A25" s="16" t="s">
        <v>61</v>
      </c>
    </row>
    <row r="26">
      <c r="A26" s="2" t="s">
        <v>102</v>
      </c>
    </row>
    <row r="28">
      <c r="A28" s="17" t="s">
        <v>62</v>
      </c>
    </row>
    <row r="29">
      <c r="A29" s="2" t="s">
        <v>104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2">
      <c r="A2" s="2" t="s">
        <v>105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A5" s="2">
        <v>0.00100449996534734</v>
      </c>
      <c r="B5" s="2">
        <v>0.00131139997392892</v>
      </c>
      <c r="C5" s="2">
        <v>9.03000007383525E-4</v>
      </c>
      <c r="D5" s="2">
        <v>7.97299901023507E-4</v>
      </c>
      <c r="E5" s="2">
        <v>8.21199966594576E-4</v>
      </c>
      <c r="F5" s="2">
        <v>9.62699996307492E-4</v>
      </c>
      <c r="G5" s="2">
        <v>7.82100018113851E-4</v>
      </c>
      <c r="H5" s="2">
        <v>8.24699993245303E-4</v>
      </c>
      <c r="I5" s="2">
        <v>7.97300017438828E-4</v>
      </c>
      <c r="J5" s="2">
        <v>9.14399977773428E-4</v>
      </c>
      <c r="K5" s="5">
        <f>MEDIAN(A5:J5)</f>
        <v>0.0008638500003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A8" s="2">
        <v>0.0658269000705331</v>
      </c>
      <c r="B8" s="2">
        <v>0.0652077000122517</v>
      </c>
      <c r="C8" s="2">
        <v>0.0687661999836564</v>
      </c>
      <c r="D8" s="2">
        <v>0.0707895000232383</v>
      </c>
      <c r="E8" s="2">
        <v>0.0699152000015601</v>
      </c>
      <c r="F8" s="2">
        <v>0.0654693000251427</v>
      </c>
      <c r="G8" s="2">
        <v>0.0663012000732123</v>
      </c>
      <c r="H8" s="2">
        <v>0.0659063000930473</v>
      </c>
      <c r="I8" s="2">
        <v>0.0662339999107644</v>
      </c>
      <c r="J8" s="2">
        <v>0.0685589000349864</v>
      </c>
      <c r="K8" s="5">
        <f>MEDIAN(A8:J8)</f>
        <v>0.06626759999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A11" s="2">
        <v>0.00956680008675903</v>
      </c>
      <c r="B11" s="2">
        <v>0.0121486999560147</v>
      </c>
      <c r="C11" s="2">
        <v>0.0111571999732404</v>
      </c>
      <c r="D11" s="2">
        <v>0.0103143999585881</v>
      </c>
      <c r="E11" s="2">
        <v>0.0104010999202728</v>
      </c>
      <c r="F11" s="2">
        <v>0.00964720000047236</v>
      </c>
      <c r="G11" s="2">
        <v>0.00952229998074472</v>
      </c>
      <c r="H11" s="2">
        <v>0.00898060004692524</v>
      </c>
      <c r="I11" s="2">
        <v>0.00966270000208169</v>
      </c>
      <c r="J11" s="2">
        <v>0.0100904999999329</v>
      </c>
      <c r="K11" s="5">
        <f>MEDIAN(A11:J11)</f>
        <v>0.009876600001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A14" s="2">
        <v>0.0680351000046357</v>
      </c>
      <c r="B14" s="2">
        <v>0.0672480000648647</v>
      </c>
      <c r="C14" s="2">
        <v>0.065599099965766</v>
      </c>
      <c r="D14" s="2">
        <v>0.06705559999682</v>
      </c>
      <c r="E14" s="2">
        <v>0.0688873999752104</v>
      </c>
      <c r="F14" s="2">
        <v>0.0664816000498831</v>
      </c>
      <c r="G14" s="2">
        <v>0.0682240000460296</v>
      </c>
      <c r="H14" s="2">
        <v>0.0671904999762773</v>
      </c>
      <c r="I14" s="2">
        <v>0.0663820999907329</v>
      </c>
      <c r="J14" s="2">
        <v>0.0739883999340236</v>
      </c>
      <c r="K14" s="5">
        <f>MEDIAN(A14:J14)</f>
        <v>0.06721925002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A17" s="2">
        <v>0.040111499838531</v>
      </c>
      <c r="B17" s="2">
        <v>0.041151599958539</v>
      </c>
      <c r="C17" s="2">
        <v>0.0404120001476258</v>
      </c>
      <c r="D17" s="2">
        <v>0.0402936001773923</v>
      </c>
      <c r="E17" s="2">
        <v>0.0392920000012964</v>
      </c>
      <c r="F17" s="2">
        <v>0.0400790001731365</v>
      </c>
      <c r="G17" s="2">
        <v>0.0434238000307232</v>
      </c>
      <c r="H17" s="2">
        <v>0.0425075001548975</v>
      </c>
      <c r="I17" s="2">
        <v>0.040521000046283</v>
      </c>
      <c r="J17" s="2">
        <v>0.0404117000289261</v>
      </c>
      <c r="K17" s="5">
        <f>MEDIAN(A17:J17)</f>
        <v>0.04041185009</v>
      </c>
    </row>
    <row r="19">
      <c r="A19" s="14" t="s">
        <v>57</v>
      </c>
    </row>
    <row r="20">
      <c r="A20" s="2" t="s">
        <v>106</v>
      </c>
    </row>
    <row r="22">
      <c r="A22" s="15" t="s">
        <v>59</v>
      </c>
    </row>
    <row r="23">
      <c r="A23" s="2" t="s">
        <v>107</v>
      </c>
    </row>
    <row r="25">
      <c r="A25" s="16" t="s">
        <v>61</v>
      </c>
    </row>
    <row r="26">
      <c r="A26" s="2" t="s">
        <v>106</v>
      </c>
    </row>
    <row r="28">
      <c r="A28" s="17" t="s">
        <v>62</v>
      </c>
    </row>
    <row r="29">
      <c r="A29" s="2" t="s">
        <v>108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9" width="38.0"/>
    <col customWidth="1" min="10" max="10" width="39.13"/>
    <col customWidth="1" min="11" max="11" width="45.38"/>
  </cols>
  <sheetData>
    <row r="1">
      <c r="A1" s="1" t="s">
        <v>0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>
      <c r="K5" s="5" t="str">
        <f>MEDIAN(A5:J5)</f>
        <v>#NUM!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7" t="s">
        <v>23</v>
      </c>
    </row>
    <row r="8">
      <c r="K8" s="5" t="str">
        <f>MEDIAN(A8:J8)</f>
        <v>#NUM!</v>
      </c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32</v>
      </c>
      <c r="J10" s="8" t="s">
        <v>33</v>
      </c>
      <c r="K10" s="9" t="s">
        <v>34</v>
      </c>
    </row>
    <row r="11">
      <c r="K11" s="5" t="str">
        <f>MEDIAN(A11:J11)</f>
        <v>#NUM!</v>
      </c>
    </row>
    <row r="13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0" t="s">
        <v>44</v>
      </c>
      <c r="K13" s="11" t="s">
        <v>45</v>
      </c>
    </row>
    <row r="14">
      <c r="K14" s="5" t="str">
        <f>MEDIAN(A14:J14)</f>
        <v>#NUM!</v>
      </c>
    </row>
    <row r="16">
      <c r="A16" s="12" t="s">
        <v>46</v>
      </c>
      <c r="B16" s="12" t="s">
        <v>47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2" t="s">
        <v>53</v>
      </c>
      <c r="I16" s="12" t="s">
        <v>54</v>
      </c>
      <c r="J16" s="12" t="s">
        <v>55</v>
      </c>
      <c r="K16" s="13" t="s">
        <v>56</v>
      </c>
    </row>
    <row r="17">
      <c r="K17" s="5" t="str">
        <f>MEDIAN(A17:J17)</f>
        <v>#NUM!</v>
      </c>
    </row>
    <row r="19">
      <c r="A19" s="14" t="s">
        <v>57</v>
      </c>
    </row>
    <row r="22">
      <c r="A22" s="15" t="s">
        <v>59</v>
      </c>
    </row>
    <row r="25">
      <c r="A25" s="16" t="s">
        <v>61</v>
      </c>
    </row>
    <row r="28">
      <c r="A28" s="17" t="s">
        <v>62</v>
      </c>
    </row>
  </sheetData>
  <drawing r:id="rId1"/>
</worksheet>
</file>